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xEna2\Zgony\"/>
    </mc:Choice>
  </mc:AlternateContent>
  <xr:revisionPtr revIDLastSave="0" documentId="13_ncr:1_{BCC0196B-AB0E-4B0D-B8B3-14356580B978}" xr6:coauthVersionLast="45" xr6:coauthVersionMax="45" xr10:uidLastSave="{00000000-0000-0000-0000-000000000000}"/>
  <bookViews>
    <workbookView xWindow="3465" yWindow="3465" windowWidth="21600" windowHeight="11385" xr2:uid="{9171A29B-E660-42CC-B75A-4BADF0266111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27" i="1" l="1"/>
  <c r="Y27" i="1"/>
  <c r="V27" i="1"/>
  <c r="T27" i="1"/>
  <c r="R27" i="1"/>
  <c r="P27" i="1"/>
  <c r="O27" i="1"/>
  <c r="M27" i="1"/>
  <c r="K27" i="1"/>
  <c r="J27" i="1"/>
  <c r="I27" i="1"/>
  <c r="H27" i="1"/>
  <c r="G27" i="1"/>
  <c r="F27" i="1"/>
  <c r="X26" i="1"/>
  <c r="E26" i="1"/>
  <c r="D26" i="1" s="1"/>
  <c r="AA26" i="1" s="1"/>
  <c r="X25" i="1"/>
  <c r="E25" i="1"/>
  <c r="D25" i="1"/>
  <c r="AA25" i="1" s="1"/>
  <c r="X24" i="1"/>
  <c r="E24" i="1"/>
  <c r="D24" i="1"/>
  <c r="AA24" i="1" s="1"/>
  <c r="X23" i="1"/>
  <c r="E23" i="1"/>
  <c r="D23" i="1" s="1"/>
  <c r="AA23" i="1" s="1"/>
  <c r="X22" i="1"/>
  <c r="E22" i="1"/>
  <c r="D22" i="1"/>
  <c r="AA22" i="1" s="1"/>
  <c r="X21" i="1"/>
  <c r="E21" i="1"/>
  <c r="D21" i="1"/>
  <c r="AA21" i="1" s="1"/>
  <c r="X20" i="1"/>
  <c r="E20" i="1"/>
  <c r="D20" i="1"/>
  <c r="AA20" i="1" s="1"/>
  <c r="X19" i="1"/>
  <c r="E19" i="1"/>
  <c r="D19" i="1" s="1"/>
  <c r="AA19" i="1" s="1"/>
  <c r="X18" i="1"/>
  <c r="E18" i="1"/>
  <c r="D18" i="1"/>
  <c r="AA18" i="1" s="1"/>
  <c r="X17" i="1"/>
  <c r="E17" i="1"/>
  <c r="D17" i="1"/>
  <c r="AA17" i="1" s="1"/>
  <c r="X16" i="1"/>
  <c r="E16" i="1"/>
  <c r="D16" i="1"/>
  <c r="AA16" i="1" s="1"/>
  <c r="X15" i="1"/>
  <c r="E15" i="1"/>
  <c r="D15" i="1" s="1"/>
  <c r="AA15" i="1" s="1"/>
  <c r="X14" i="1"/>
  <c r="E14" i="1"/>
  <c r="D14" i="1"/>
  <c r="AA14" i="1" s="1"/>
  <c r="X13" i="1"/>
  <c r="E13" i="1"/>
  <c r="D13" i="1"/>
  <c r="AA13" i="1" s="1"/>
  <c r="X12" i="1"/>
  <c r="E12" i="1"/>
  <c r="D12" i="1"/>
  <c r="AA12" i="1" s="1"/>
  <c r="X11" i="1"/>
  <c r="E11" i="1"/>
  <c r="D11" i="1" s="1"/>
  <c r="AA11" i="1" s="1"/>
  <c r="X10" i="1"/>
  <c r="X27" i="1" s="1"/>
  <c r="E10" i="1"/>
  <c r="D10" i="1"/>
  <c r="AA10" i="1" s="1"/>
  <c r="X9" i="1"/>
  <c r="E9" i="1"/>
  <c r="D9" i="1"/>
  <c r="AA9" i="1" s="1"/>
  <c r="X8" i="1"/>
  <c r="E8" i="1"/>
  <c r="D8" i="1"/>
  <c r="AA8" i="1" s="1"/>
  <c r="X7" i="1"/>
  <c r="E7" i="1"/>
  <c r="D7" i="1" s="1"/>
  <c r="D27" i="1" l="1"/>
  <c r="AA7" i="1"/>
  <c r="AA27" i="1" s="1"/>
  <c r="E27" i="1"/>
</calcChain>
</file>

<file path=xl/sharedStrings.xml><?xml version="1.0" encoding="utf-8"?>
<sst xmlns="http://schemas.openxmlformats.org/spreadsheetml/2006/main" count="80" uniqueCount="68">
  <si>
    <t>SALDO KSIĘGOWE 31.12.2019</t>
  </si>
  <si>
    <t>saldo windykacyjne 
na 31.12.2019</t>
  </si>
  <si>
    <t>saldo wniosku umorzeniowego na 31.12.2019</t>
  </si>
  <si>
    <t>PRZEDAWNIONE</t>
  </si>
  <si>
    <t>NIEPRZEDAWNIONE</t>
  </si>
  <si>
    <t>LP.</t>
  </si>
  <si>
    <t>Nr sprawy z WIENA</t>
  </si>
  <si>
    <t>Razem saldo księgowe (nalezność główna + koszty + odsetki )</t>
  </si>
  <si>
    <t>Należność główna (suma przedawniona + nieprzedawniona)</t>
  </si>
  <si>
    <t>kwota należności głównej</t>
  </si>
  <si>
    <t>Data przedawnienia</t>
  </si>
  <si>
    <t xml:space="preserve">Koszty sądowe - zaksięgowane
</t>
  </si>
  <si>
    <t xml:space="preserve">Odsetki zaksięgowane
</t>
  </si>
  <si>
    <t>termin 
płatności</t>
  </si>
  <si>
    <t>termin płatności</t>
  </si>
  <si>
    <t>Razem</t>
  </si>
  <si>
    <t>suma kosztów egzekucyjnych 
(kza+ ke)</t>
  </si>
  <si>
    <t>odsetki *</t>
  </si>
  <si>
    <t>saldo księgowe + strona windykacyjna</t>
  </si>
  <si>
    <t>Lp.</t>
  </si>
  <si>
    <t>Należność główna ogółem</t>
  </si>
  <si>
    <t>w tym odsetki skapitaliz. (noty odsetkowe)</t>
  </si>
  <si>
    <t>w tym odsetki naliczone</t>
  </si>
  <si>
    <t xml:space="preserve">w tym WDZ </t>
  </si>
  <si>
    <t>nr konta</t>
  </si>
  <si>
    <t>wiersz ODYS</t>
  </si>
  <si>
    <t>Dokument (nr faktury, 
nr noty odsetkowej, 
nr spraw *</t>
  </si>
  <si>
    <t>Należność 
głowna</t>
  </si>
  <si>
    <t>Inne koszty</t>
  </si>
  <si>
    <t>Odsetki</t>
  </si>
  <si>
    <t>3
 (4+10+12+19+21)</t>
  </si>
  <si>
    <t>4
 (5+14)</t>
  </si>
  <si>
    <t>23
 (24+25)</t>
  </si>
  <si>
    <t>26
 (3+23)</t>
  </si>
  <si>
    <t>C-4542/2018</t>
  </si>
  <si>
    <t>2016-02-15</t>
  </si>
  <si>
    <t>C-10478/2017</t>
  </si>
  <si>
    <t>2016-06-14</t>
  </si>
  <si>
    <t>C-303/2018</t>
  </si>
  <si>
    <t>2016-12-15</t>
  </si>
  <si>
    <t>C-3405/2017</t>
  </si>
  <si>
    <t>2014-07-22</t>
  </si>
  <si>
    <t>C-4433/2018</t>
  </si>
  <si>
    <t>2016-04-25</t>
  </si>
  <si>
    <t>C-8570/2018</t>
  </si>
  <si>
    <t>2016-10-03</t>
  </si>
  <si>
    <t>C-2754/2016</t>
  </si>
  <si>
    <t>C-1952/2016</t>
  </si>
  <si>
    <t>C-1608/2016</t>
  </si>
  <si>
    <t>C-3343/2018</t>
  </si>
  <si>
    <t>2017-09-06</t>
  </si>
  <si>
    <t>C-6735/2018</t>
  </si>
  <si>
    <t>2017-02-06</t>
  </si>
  <si>
    <t>C-2952/2018</t>
  </si>
  <si>
    <t>2017-02-13</t>
  </si>
  <si>
    <t>C-8269/2017</t>
  </si>
  <si>
    <t>2015-08-25</t>
  </si>
  <si>
    <t>C-5596/2018</t>
  </si>
  <si>
    <t>C-2293/2018</t>
  </si>
  <si>
    <t>2016-06-17</t>
  </si>
  <si>
    <t>C-9971/2018</t>
  </si>
  <si>
    <t>2017-09-18</t>
  </si>
  <si>
    <t>C-7612/2017</t>
  </si>
  <si>
    <t>2016-05-19</t>
  </si>
  <si>
    <t>C-662/2017</t>
  </si>
  <si>
    <t>C-8163/2017</t>
  </si>
  <si>
    <t>C-5444/2018</t>
  </si>
  <si>
    <t>2016-06-09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</si>
</sst>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14" fontId="2" fillId="5" borderId="6" xfId="0" applyNumberFormat="1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left" wrapText="1"/>
    </xf>
    <xf numFmtId="14" fontId="2" fillId="5" borderId="1" xfId="0" applyNumberFormat="1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0" fontId="2" fillId="8" borderId="1" xfId="0" applyFont="1" applyFill="1" applyBorder="1" applyAlignment="1">
      <alignment horizontal="left" wrapText="1"/>
    </xf>
    <xf numFmtId="0" fontId="0" fillId="5" borderId="1" xfId="0" applyFill="1" applyBorder="1" applyAlignment="1">
      <alignment horizontal="left"/>
    </xf>
    <xf numFmtId="0" fontId="2" fillId="8" borderId="1" xfId="0" applyFont="1" applyFill="1" applyBorder="1" applyAlignment="1">
      <alignment wrapText="1"/>
    </xf>
    <xf numFmtId="0" fontId="0" fillId="5" borderId="6" xfId="0" applyFill="1" applyBorder="1" applyAlignment="1">
      <alignment horizontal="left" wrapText="1"/>
    </xf>
    <xf numFmtId="0" fontId="2" fillId="8" borderId="6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left" wrapText="1"/>
    </xf>
    <xf numFmtId="0" fontId="0" fillId="5" borderId="6" xfId="0" applyFill="1" applyBorder="1" applyAlignment="1">
      <alignment horizontal="left"/>
    </xf>
    <xf numFmtId="0" fontId="2" fillId="8" borderId="6" xfId="0" applyFont="1" applyFill="1" applyBorder="1" applyAlignment="1">
      <alignment wrapText="1"/>
    </xf>
    <xf numFmtId="0" fontId="2" fillId="9" borderId="1" xfId="0" applyFont="1" applyFill="1" applyBorder="1" applyAlignment="1">
      <alignment horizontal="left"/>
    </xf>
    <xf numFmtId="0" fontId="2" fillId="0" borderId="6" xfId="0" applyFont="1" applyBorder="1" applyAlignment="1">
      <alignment horizontal="left"/>
    </xf>
    <xf numFmtId="4" fontId="2" fillId="0" borderId="6" xfId="0" applyNumberFormat="1" applyFont="1" applyBorder="1" applyAlignment="1">
      <alignment horizontal="left"/>
    </xf>
    <xf numFmtId="2" fontId="3" fillId="0" borderId="6" xfId="0" applyNumberFormat="1" applyFont="1" applyBorder="1" applyAlignment="1">
      <alignment horizontal="left"/>
    </xf>
    <xf numFmtId="2" fontId="2" fillId="0" borderId="6" xfId="0" applyNumberFormat="1" applyFont="1" applyBorder="1" applyAlignment="1">
      <alignment horizontal="left"/>
    </xf>
    <xf numFmtId="0" fontId="2" fillId="0" borderId="1" xfId="0" applyFont="1" applyBorder="1"/>
    <xf numFmtId="14" fontId="2" fillId="0" borderId="6" xfId="0" applyNumberFormat="1" applyFont="1" applyBorder="1" applyAlignment="1">
      <alignment horizontal="left"/>
    </xf>
    <xf numFmtId="0" fontId="2" fillId="0" borderId="6" xfId="0" applyFont="1" applyBorder="1"/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4" fontId="2" fillId="10" borderId="6" xfId="0" applyNumberFormat="1" applyFont="1" applyFill="1" applyBorder="1" applyAlignment="1">
      <alignment horizontal="left"/>
    </xf>
    <xf numFmtId="2" fontId="3" fillId="10" borderId="6" xfId="0" applyNumberFormat="1" applyFont="1" applyFill="1" applyBorder="1" applyAlignment="1">
      <alignment horizontal="left"/>
    </xf>
    <xf numFmtId="14" fontId="2" fillId="10" borderId="1" xfId="0" applyNumberFormat="1" applyFont="1" applyFill="1" applyBorder="1" applyAlignment="1">
      <alignment horizontal="left"/>
    </xf>
    <xf numFmtId="14" fontId="2" fillId="10" borderId="6" xfId="0" applyNumberFormat="1" applyFont="1" applyFill="1" applyBorder="1" applyAlignment="1">
      <alignment horizontal="left"/>
    </xf>
    <xf numFmtId="0" fontId="2" fillId="10" borderId="1" xfId="0" applyFont="1" applyFill="1" applyBorder="1"/>
    <xf numFmtId="2" fontId="2" fillId="10" borderId="1" xfId="0" applyNumberFormat="1" applyFon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4" fillId="0" borderId="1" xfId="0" applyFont="1" applyBorder="1"/>
    <xf numFmtId="0" fontId="0" fillId="10" borderId="1" xfId="0" applyFill="1" applyBorder="1" applyAlignment="1">
      <alignment horizontal="left"/>
    </xf>
    <xf numFmtId="164" fontId="2" fillId="10" borderId="1" xfId="0" applyNumberFormat="1" applyFont="1" applyFill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4" fontId="3" fillId="0" borderId="1" xfId="0" applyNumberFormat="1" applyFont="1" applyBorder="1" applyAlignment="1">
      <alignment horizontal="left"/>
    </xf>
    <xf numFmtId="4" fontId="5" fillId="0" borderId="1" xfId="0" applyNumberFormat="1" applyFont="1" applyBorder="1" applyAlignment="1">
      <alignment horizontal="left"/>
    </xf>
    <xf numFmtId="4" fontId="3" fillId="12" borderId="1" xfId="0" applyNumberFormat="1" applyFont="1" applyFill="1" applyBorder="1" applyAlignment="1">
      <alignment horizontal="left"/>
    </xf>
  </cellXfs>
  <cellStyles count="1">
    <cellStyle name="Normalny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774A-2370-425F-AA5B-8FAB1F33E7FE}">
  <dimension ref="A1:AB27"/>
  <sheetViews>
    <sheetView tabSelected="1" workbookViewId="0">
      <selection activeCell="F5" sqref="F5"/>
    </sheetView>
  </sheetViews>
  <sheetFormatPr defaultRowHeight="15" x14ac:dyDescent="0.25"/>
  <cols>
    <col min="3" max="3" width="18.7109375" customWidth="1"/>
  </cols>
  <sheetData>
    <row r="1" spans="1:28" x14ac:dyDescent="0.25">
      <c r="A1" s="1"/>
      <c r="B1" s="1"/>
      <c r="C1" s="2"/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 t="s">
        <v>1</v>
      </c>
      <c r="Y1" s="4"/>
      <c r="Z1" s="4"/>
      <c r="AA1" s="5" t="s">
        <v>2</v>
      </c>
    </row>
    <row r="2" spans="1:28" x14ac:dyDescent="0.25">
      <c r="A2" s="1"/>
      <c r="B2" s="1"/>
      <c r="C2" s="1"/>
      <c r="D2" s="4"/>
      <c r="E2" s="4"/>
      <c r="F2" s="6" t="s">
        <v>3</v>
      </c>
      <c r="G2" s="7"/>
      <c r="H2" s="7"/>
      <c r="I2" s="7"/>
      <c r="J2" s="7"/>
      <c r="K2" s="7"/>
      <c r="L2" s="7"/>
      <c r="M2" s="7"/>
      <c r="N2" s="8"/>
      <c r="O2" s="9" t="s">
        <v>4</v>
      </c>
      <c r="P2" s="9"/>
      <c r="Q2" s="9"/>
      <c r="R2" s="9"/>
      <c r="S2" s="9"/>
      <c r="T2" s="9"/>
      <c r="U2" s="9"/>
      <c r="V2" s="9"/>
      <c r="W2" s="9"/>
      <c r="X2" s="4"/>
      <c r="Y2" s="4"/>
      <c r="Z2" s="4"/>
      <c r="AA2" s="10"/>
    </row>
    <row r="3" spans="1:28" x14ac:dyDescent="0.25">
      <c r="A3" s="1"/>
      <c r="B3" s="11" t="s">
        <v>5</v>
      </c>
      <c r="C3" s="11" t="s">
        <v>6</v>
      </c>
      <c r="D3" s="12" t="s">
        <v>7</v>
      </c>
      <c r="E3" s="12" t="s">
        <v>8</v>
      </c>
      <c r="F3" s="13" t="s">
        <v>9</v>
      </c>
      <c r="G3" s="14"/>
      <c r="H3" s="14"/>
      <c r="I3" s="15"/>
      <c r="J3" s="16" t="s">
        <v>10</v>
      </c>
      <c r="K3" s="17" t="s">
        <v>11</v>
      </c>
      <c r="L3" s="17" t="s">
        <v>10</v>
      </c>
      <c r="M3" s="17" t="s">
        <v>12</v>
      </c>
      <c r="N3" s="18" t="s">
        <v>10</v>
      </c>
      <c r="O3" s="19" t="s">
        <v>9</v>
      </c>
      <c r="P3" s="19"/>
      <c r="Q3" s="19"/>
      <c r="R3" s="19"/>
      <c r="S3" s="20" t="s">
        <v>13</v>
      </c>
      <c r="T3" s="21" t="s">
        <v>11</v>
      </c>
      <c r="U3" s="21" t="s">
        <v>14</v>
      </c>
      <c r="V3" s="21" t="s">
        <v>12</v>
      </c>
      <c r="W3" s="21" t="s">
        <v>14</v>
      </c>
      <c r="X3" s="22" t="s">
        <v>15</v>
      </c>
      <c r="Y3" s="22" t="s">
        <v>16</v>
      </c>
      <c r="Z3" s="22" t="s">
        <v>17</v>
      </c>
      <c r="AA3" s="23" t="s">
        <v>18</v>
      </c>
    </row>
    <row r="4" spans="1:28" ht="90" x14ac:dyDescent="0.25">
      <c r="A4" s="24" t="s">
        <v>19</v>
      </c>
      <c r="B4" s="11"/>
      <c r="C4" s="11"/>
      <c r="D4" s="12"/>
      <c r="E4" s="12"/>
      <c r="F4" s="25" t="s">
        <v>20</v>
      </c>
      <c r="G4" s="25" t="s">
        <v>21</v>
      </c>
      <c r="H4" s="25" t="s">
        <v>22</v>
      </c>
      <c r="I4" s="25" t="s">
        <v>23</v>
      </c>
      <c r="J4" s="26"/>
      <c r="K4" s="17"/>
      <c r="L4" s="17"/>
      <c r="M4" s="17"/>
      <c r="N4" s="27"/>
      <c r="O4" s="28" t="s">
        <v>20</v>
      </c>
      <c r="P4" s="28" t="s">
        <v>21</v>
      </c>
      <c r="Q4" s="28" t="s">
        <v>22</v>
      </c>
      <c r="R4" s="28" t="s">
        <v>23</v>
      </c>
      <c r="S4" s="29"/>
      <c r="T4" s="30"/>
      <c r="U4" s="30"/>
      <c r="V4" s="30"/>
      <c r="W4" s="30"/>
      <c r="X4" s="22"/>
      <c r="Y4" s="22"/>
      <c r="Z4" s="22"/>
      <c r="AA4" s="31"/>
      <c r="AB4" s="32" t="s">
        <v>24</v>
      </c>
    </row>
    <row r="5" spans="1:28" ht="120" x14ac:dyDescent="0.25">
      <c r="A5" s="33"/>
      <c r="B5" s="34" t="s">
        <v>25</v>
      </c>
      <c r="C5" s="35" t="s">
        <v>26</v>
      </c>
      <c r="D5" s="36"/>
      <c r="E5" s="35" t="s">
        <v>27</v>
      </c>
      <c r="F5" s="35"/>
      <c r="G5" s="36"/>
      <c r="H5" s="36"/>
      <c r="I5" s="36"/>
      <c r="J5" s="35" t="s">
        <v>10</v>
      </c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7" t="s">
        <v>28</v>
      </c>
      <c r="Z5" s="37" t="s">
        <v>29</v>
      </c>
      <c r="AA5" s="36"/>
      <c r="AB5" s="38"/>
    </row>
    <row r="6" spans="1:28" ht="60" x14ac:dyDescent="0.25">
      <c r="A6" s="33"/>
      <c r="B6" s="28">
        <v>1</v>
      </c>
      <c r="C6" s="39">
        <v>2</v>
      </c>
      <c r="D6" s="40" t="s">
        <v>30</v>
      </c>
      <c r="E6" s="41" t="s">
        <v>31</v>
      </c>
      <c r="F6" s="39">
        <v>5</v>
      </c>
      <c r="G6" s="42">
        <v>6</v>
      </c>
      <c r="H6" s="42">
        <v>7</v>
      </c>
      <c r="I6" s="42">
        <v>8</v>
      </c>
      <c r="J6" s="35">
        <v>9</v>
      </c>
      <c r="K6" s="42">
        <v>10</v>
      </c>
      <c r="L6" s="42">
        <v>11</v>
      </c>
      <c r="M6" s="42">
        <v>12</v>
      </c>
      <c r="N6" s="42">
        <v>13</v>
      </c>
      <c r="O6" s="42">
        <v>14</v>
      </c>
      <c r="P6" s="42">
        <v>15</v>
      </c>
      <c r="Q6" s="42">
        <v>16</v>
      </c>
      <c r="R6" s="42">
        <v>17</v>
      </c>
      <c r="S6" s="42">
        <v>18</v>
      </c>
      <c r="T6" s="42">
        <v>19</v>
      </c>
      <c r="U6" s="42">
        <v>20</v>
      </c>
      <c r="V6" s="42">
        <v>21</v>
      </c>
      <c r="W6" s="42">
        <v>22</v>
      </c>
      <c r="X6" s="40" t="s">
        <v>32</v>
      </c>
      <c r="Y6" s="43">
        <v>24</v>
      </c>
      <c r="Z6" s="43">
        <v>25</v>
      </c>
      <c r="AA6" s="40" t="s">
        <v>33</v>
      </c>
      <c r="AB6" s="44">
        <v>27</v>
      </c>
    </row>
    <row r="7" spans="1:28" x14ac:dyDescent="0.25">
      <c r="A7" s="45">
        <v>3749</v>
      </c>
      <c r="B7" s="46">
        <v>1</v>
      </c>
      <c r="C7" s="46" t="s">
        <v>34</v>
      </c>
      <c r="D7" s="47">
        <f>E7+K7+M7+T7+V7</f>
        <v>715.93999999999994</v>
      </c>
      <c r="E7" s="47">
        <f>F7+O7</f>
        <v>715.93999999999994</v>
      </c>
      <c r="F7" s="48">
        <v>673.93999999999994</v>
      </c>
      <c r="G7" s="49">
        <v>0</v>
      </c>
      <c r="H7" s="49"/>
      <c r="I7" s="49">
        <v>50.4</v>
      </c>
      <c r="J7" s="50" t="s">
        <v>35</v>
      </c>
      <c r="K7" s="49"/>
      <c r="L7" s="49"/>
      <c r="M7" s="49"/>
      <c r="N7" s="49"/>
      <c r="O7" s="49">
        <v>42</v>
      </c>
      <c r="P7" s="49">
        <v>0</v>
      </c>
      <c r="Q7" s="49"/>
      <c r="R7" s="49">
        <v>42</v>
      </c>
      <c r="S7" s="51">
        <v>43214</v>
      </c>
      <c r="T7" s="49"/>
      <c r="U7" s="49"/>
      <c r="V7" s="49"/>
      <c r="W7" s="49"/>
      <c r="X7" s="47">
        <f>Y7+Z7</f>
        <v>141.53</v>
      </c>
      <c r="Y7" s="47">
        <v>0</v>
      </c>
      <c r="Z7" s="47">
        <v>141.53</v>
      </c>
      <c r="AA7" s="47">
        <f t="shared" ref="AA7:AA26" si="0">D7+X7</f>
        <v>857.46999999999991</v>
      </c>
      <c r="AB7" s="52">
        <v>2440010</v>
      </c>
    </row>
    <row r="8" spans="1:28" x14ac:dyDescent="0.25">
      <c r="A8" s="45">
        <v>3748</v>
      </c>
      <c r="B8" s="53">
        <v>2</v>
      </c>
      <c r="C8" s="53" t="s">
        <v>36</v>
      </c>
      <c r="D8" s="47">
        <f t="shared" ref="D8:D26" si="1">E8+K8+M8+T8+V8</f>
        <v>707.8</v>
      </c>
      <c r="E8" s="47">
        <f t="shared" ref="E8:E26" si="2">F8+O8</f>
        <v>707.8</v>
      </c>
      <c r="F8" s="48">
        <v>707.8</v>
      </c>
      <c r="G8" s="54">
        <v>15.1</v>
      </c>
      <c r="H8" s="54"/>
      <c r="I8" s="54">
        <v>50.4</v>
      </c>
      <c r="J8" s="55" t="s">
        <v>37</v>
      </c>
      <c r="K8" s="54"/>
      <c r="L8" s="54"/>
      <c r="M8" s="54"/>
      <c r="N8" s="54"/>
      <c r="O8" s="53">
        <v>0</v>
      </c>
      <c r="P8" s="53">
        <v>0</v>
      </c>
      <c r="Q8" s="53"/>
      <c r="R8" s="53">
        <v>0</v>
      </c>
      <c r="S8" s="55"/>
      <c r="T8" s="53"/>
      <c r="U8" s="53"/>
      <c r="V8" s="53"/>
      <c r="W8" s="46"/>
      <c r="X8" s="47">
        <f t="shared" ref="X8:X26" si="3">Y8+Z8</f>
        <v>149.69</v>
      </c>
      <c r="Y8" s="47">
        <v>0</v>
      </c>
      <c r="Z8" s="47">
        <v>149.69</v>
      </c>
      <c r="AA8" s="47">
        <f t="shared" si="0"/>
        <v>857.49</v>
      </c>
      <c r="AB8" s="50">
        <v>2440010</v>
      </c>
    </row>
    <row r="9" spans="1:28" x14ac:dyDescent="0.25">
      <c r="A9" s="45">
        <v>3746</v>
      </c>
      <c r="B9" s="53">
        <v>3</v>
      </c>
      <c r="C9" s="53" t="s">
        <v>38</v>
      </c>
      <c r="D9" s="47">
        <f t="shared" si="1"/>
        <v>717.78000000000009</v>
      </c>
      <c r="E9" s="47">
        <f t="shared" si="2"/>
        <v>717.78000000000009</v>
      </c>
      <c r="F9" s="48">
        <v>717.78000000000009</v>
      </c>
      <c r="G9" s="53">
        <v>35.32</v>
      </c>
      <c r="H9" s="53"/>
      <c r="I9" s="54">
        <v>42</v>
      </c>
      <c r="J9" s="53" t="s">
        <v>39</v>
      </c>
      <c r="K9" s="54"/>
      <c r="L9" s="54"/>
      <c r="M9" s="54"/>
      <c r="N9" s="54"/>
      <c r="O9" s="53">
        <v>0</v>
      </c>
      <c r="P9" s="53">
        <v>0</v>
      </c>
      <c r="Q9" s="53"/>
      <c r="R9" s="53">
        <v>0</v>
      </c>
      <c r="S9" s="55"/>
      <c r="T9" s="53"/>
      <c r="U9" s="53"/>
      <c r="V9" s="53"/>
      <c r="W9" s="46"/>
      <c r="X9" s="47">
        <f t="shared" si="3"/>
        <v>140.12</v>
      </c>
      <c r="Y9" s="47">
        <v>0</v>
      </c>
      <c r="Z9" s="47">
        <v>140.12</v>
      </c>
      <c r="AA9" s="47">
        <f t="shared" si="0"/>
        <v>857.90000000000009</v>
      </c>
      <c r="AB9" s="50">
        <v>2440010</v>
      </c>
    </row>
    <row r="10" spans="1:28" x14ac:dyDescent="0.25">
      <c r="A10" s="45">
        <v>3743</v>
      </c>
      <c r="B10" s="53">
        <v>4</v>
      </c>
      <c r="C10" s="53" t="s">
        <v>40</v>
      </c>
      <c r="D10" s="47">
        <f t="shared" si="1"/>
        <v>726.99</v>
      </c>
      <c r="E10" s="47">
        <f t="shared" si="2"/>
        <v>726.99</v>
      </c>
      <c r="F10" s="48">
        <v>726.99</v>
      </c>
      <c r="G10" s="53">
        <v>0</v>
      </c>
      <c r="H10" s="53"/>
      <c r="I10" s="54">
        <v>34.39</v>
      </c>
      <c r="J10" s="50" t="s">
        <v>41</v>
      </c>
      <c r="K10" s="54"/>
      <c r="L10" s="54"/>
      <c r="M10" s="54"/>
      <c r="N10" s="54"/>
      <c r="O10" s="53">
        <v>0</v>
      </c>
      <c r="P10" s="53">
        <v>0</v>
      </c>
      <c r="Q10" s="53"/>
      <c r="R10" s="53">
        <v>0</v>
      </c>
      <c r="S10" s="55"/>
      <c r="T10" s="53"/>
      <c r="U10" s="53"/>
      <c r="V10" s="53"/>
      <c r="W10" s="46"/>
      <c r="X10" s="47">
        <f t="shared" si="3"/>
        <v>131.46</v>
      </c>
      <c r="Y10" s="47">
        <v>0</v>
      </c>
      <c r="Z10" s="47">
        <v>131.46</v>
      </c>
      <c r="AA10" s="47">
        <f t="shared" si="0"/>
        <v>858.45</v>
      </c>
      <c r="AB10" s="50">
        <v>2440010</v>
      </c>
    </row>
    <row r="11" spans="1:28" x14ac:dyDescent="0.25">
      <c r="A11" s="45">
        <v>3741</v>
      </c>
      <c r="B11" s="53">
        <v>5</v>
      </c>
      <c r="C11" s="53" t="s">
        <v>42</v>
      </c>
      <c r="D11" s="47">
        <f t="shared" si="1"/>
        <v>722.82999999999993</v>
      </c>
      <c r="E11" s="47">
        <f t="shared" si="2"/>
        <v>722.82999999999993</v>
      </c>
      <c r="F11" s="48">
        <v>667.8599999999999</v>
      </c>
      <c r="G11" s="54">
        <v>33.04</v>
      </c>
      <c r="H11" s="54"/>
      <c r="I11" s="54">
        <v>50.4</v>
      </c>
      <c r="J11" s="55" t="s">
        <v>43</v>
      </c>
      <c r="K11" s="54"/>
      <c r="L11" s="54"/>
      <c r="M11" s="54"/>
      <c r="N11" s="54"/>
      <c r="O11" s="54">
        <v>54.97</v>
      </c>
      <c r="P11" s="54">
        <v>12.53</v>
      </c>
      <c r="Q11" s="54"/>
      <c r="R11" s="54">
        <v>16.8</v>
      </c>
      <c r="S11" s="55">
        <v>43193</v>
      </c>
      <c r="T11" s="54"/>
      <c r="U11" s="54"/>
      <c r="V11" s="54"/>
      <c r="W11" s="49"/>
      <c r="X11" s="47">
        <f t="shared" si="3"/>
        <v>135.83000000000001</v>
      </c>
      <c r="Y11" s="47">
        <v>0</v>
      </c>
      <c r="Z11" s="47">
        <v>135.83000000000001</v>
      </c>
      <c r="AA11" s="47">
        <f t="shared" si="0"/>
        <v>858.66</v>
      </c>
      <c r="AB11" s="50">
        <v>2440010</v>
      </c>
    </row>
    <row r="12" spans="1:28" x14ac:dyDescent="0.25">
      <c r="A12" s="45">
        <v>3738</v>
      </c>
      <c r="B12" s="53">
        <v>6</v>
      </c>
      <c r="C12" s="53" t="s">
        <v>44</v>
      </c>
      <c r="D12" s="47">
        <f t="shared" si="1"/>
        <v>736.12999999999988</v>
      </c>
      <c r="E12" s="47">
        <f t="shared" si="2"/>
        <v>736.12999999999988</v>
      </c>
      <c r="F12" s="48">
        <v>649.20999999999992</v>
      </c>
      <c r="G12" s="53">
        <v>21.28</v>
      </c>
      <c r="H12" s="53"/>
      <c r="I12" s="54">
        <v>92.4</v>
      </c>
      <c r="J12" s="55" t="s">
        <v>45</v>
      </c>
      <c r="K12" s="54"/>
      <c r="L12" s="54"/>
      <c r="M12" s="54"/>
      <c r="N12" s="54"/>
      <c r="O12" s="53">
        <v>86.92</v>
      </c>
      <c r="P12" s="53">
        <v>0</v>
      </c>
      <c r="Q12" s="53"/>
      <c r="R12" s="54">
        <v>8.4</v>
      </c>
      <c r="S12" s="55">
        <v>43244</v>
      </c>
      <c r="T12" s="54"/>
      <c r="U12" s="54"/>
      <c r="V12" s="54"/>
      <c r="W12" s="49"/>
      <c r="X12" s="47">
        <f t="shared" si="3"/>
        <v>122.95</v>
      </c>
      <c r="Y12" s="47">
        <v>0</v>
      </c>
      <c r="Z12" s="47">
        <v>122.95</v>
      </c>
      <c r="AA12" s="47">
        <f t="shared" si="0"/>
        <v>859.07999999999993</v>
      </c>
      <c r="AB12" s="50">
        <v>2440010</v>
      </c>
    </row>
    <row r="13" spans="1:28" x14ac:dyDescent="0.25">
      <c r="A13" s="56">
        <v>3010</v>
      </c>
      <c r="B13" s="57">
        <v>7</v>
      </c>
      <c r="C13" s="57" t="s">
        <v>46</v>
      </c>
      <c r="D13" s="58">
        <f t="shared" si="1"/>
        <v>790.59000000000015</v>
      </c>
      <c r="E13" s="58">
        <f t="shared" si="2"/>
        <v>522.85</v>
      </c>
      <c r="F13" s="59">
        <v>522.85</v>
      </c>
      <c r="G13" s="57">
        <v>0</v>
      </c>
      <c r="H13" s="57"/>
      <c r="I13" s="57">
        <v>0</v>
      </c>
      <c r="J13" s="60">
        <v>42310</v>
      </c>
      <c r="K13" s="57"/>
      <c r="L13" s="57"/>
      <c r="M13" s="57"/>
      <c r="N13" s="57"/>
      <c r="O13" s="57">
        <v>0</v>
      </c>
      <c r="P13" s="57">
        <v>0</v>
      </c>
      <c r="Q13" s="57"/>
      <c r="R13" s="57">
        <v>0</v>
      </c>
      <c r="S13" s="60"/>
      <c r="T13" s="58">
        <v>210.3</v>
      </c>
      <c r="U13" s="61">
        <v>42940</v>
      </c>
      <c r="V13" s="58">
        <v>57.44</v>
      </c>
      <c r="W13" s="61">
        <v>42956</v>
      </c>
      <c r="X13" s="58">
        <f t="shared" si="3"/>
        <v>236.54250000000002</v>
      </c>
      <c r="Y13" s="58">
        <v>148.4</v>
      </c>
      <c r="Z13" s="58">
        <v>88.142500000000013</v>
      </c>
      <c r="AA13" s="58">
        <f t="shared" si="0"/>
        <v>1027.1325000000002</v>
      </c>
      <c r="AB13" s="62">
        <v>2442170</v>
      </c>
    </row>
    <row r="14" spans="1:28" x14ac:dyDescent="0.25">
      <c r="A14" s="56">
        <v>2921</v>
      </c>
      <c r="B14" s="57">
        <v>8</v>
      </c>
      <c r="C14" s="57" t="s">
        <v>47</v>
      </c>
      <c r="D14" s="58">
        <f t="shared" si="1"/>
        <v>957.79</v>
      </c>
      <c r="E14" s="58">
        <f t="shared" si="2"/>
        <v>555.71</v>
      </c>
      <c r="F14" s="59">
        <v>555.71</v>
      </c>
      <c r="G14" s="57">
        <v>0</v>
      </c>
      <c r="H14" s="57"/>
      <c r="I14" s="57">
        <v>0</v>
      </c>
      <c r="J14" s="60">
        <v>42054</v>
      </c>
      <c r="K14" s="57"/>
      <c r="L14" s="57"/>
      <c r="M14" s="57"/>
      <c r="N14" s="57"/>
      <c r="O14" s="57">
        <v>0</v>
      </c>
      <c r="P14" s="57">
        <v>0</v>
      </c>
      <c r="Q14" s="57"/>
      <c r="R14" s="57">
        <v>0</v>
      </c>
      <c r="S14" s="60"/>
      <c r="T14" s="58">
        <v>300.3</v>
      </c>
      <c r="U14" s="61">
        <v>42957</v>
      </c>
      <c r="V14" s="58">
        <v>101.78</v>
      </c>
      <c r="W14" s="61">
        <v>42969</v>
      </c>
      <c r="X14" s="58">
        <f t="shared" si="3"/>
        <v>92.289999999999992</v>
      </c>
      <c r="Y14" s="58">
        <v>0</v>
      </c>
      <c r="Z14" s="58">
        <v>92.289999999999992</v>
      </c>
      <c r="AA14" s="58">
        <f t="shared" si="0"/>
        <v>1050.08</v>
      </c>
      <c r="AB14" s="62">
        <v>2442170</v>
      </c>
    </row>
    <row r="15" spans="1:28" x14ac:dyDescent="0.25">
      <c r="A15" s="56">
        <v>2252</v>
      </c>
      <c r="B15" s="57">
        <v>9</v>
      </c>
      <c r="C15" s="57" t="s">
        <v>48</v>
      </c>
      <c r="D15" s="58">
        <f t="shared" si="1"/>
        <v>1011.8</v>
      </c>
      <c r="E15" s="58">
        <f t="shared" si="2"/>
        <v>616.29999999999995</v>
      </c>
      <c r="F15" s="59">
        <v>616.29999999999995</v>
      </c>
      <c r="G15" s="63">
        <v>0.1</v>
      </c>
      <c r="H15" s="63"/>
      <c r="I15" s="57">
        <v>34.39</v>
      </c>
      <c r="J15" s="60">
        <v>42074</v>
      </c>
      <c r="K15" s="57"/>
      <c r="L15" s="57"/>
      <c r="M15" s="57"/>
      <c r="N15" s="57"/>
      <c r="O15" s="57">
        <v>0</v>
      </c>
      <c r="P15" s="57">
        <v>0</v>
      </c>
      <c r="Q15" s="57"/>
      <c r="R15" s="57">
        <v>0</v>
      </c>
      <c r="S15" s="60"/>
      <c r="T15" s="58">
        <v>300.3</v>
      </c>
      <c r="U15" s="61">
        <v>42844</v>
      </c>
      <c r="V15" s="58">
        <v>95.2</v>
      </c>
      <c r="W15" s="61">
        <v>42863</v>
      </c>
      <c r="X15" s="58">
        <f t="shared" si="3"/>
        <v>265.6465</v>
      </c>
      <c r="Y15" s="58">
        <v>153.1</v>
      </c>
      <c r="Z15" s="58">
        <v>112.54649999999999</v>
      </c>
      <c r="AA15" s="58">
        <f t="shared" si="0"/>
        <v>1277.4465</v>
      </c>
      <c r="AB15" s="62">
        <v>2442170</v>
      </c>
    </row>
    <row r="16" spans="1:28" x14ac:dyDescent="0.25">
      <c r="A16" s="64">
        <v>2075</v>
      </c>
      <c r="B16" s="53">
        <v>10</v>
      </c>
      <c r="C16" s="53" t="s">
        <v>49</v>
      </c>
      <c r="D16" s="47">
        <f t="shared" si="1"/>
        <v>1193.75</v>
      </c>
      <c r="E16" s="47">
        <f t="shared" si="2"/>
        <v>1193.75</v>
      </c>
      <c r="F16" s="48">
        <v>154.22999999999999</v>
      </c>
      <c r="G16" s="53">
        <v>0</v>
      </c>
      <c r="H16" s="53"/>
      <c r="I16" s="53">
        <v>0</v>
      </c>
      <c r="J16" s="50" t="s">
        <v>50</v>
      </c>
      <c r="K16" s="53"/>
      <c r="L16" s="53"/>
      <c r="M16" s="53"/>
      <c r="N16" s="53"/>
      <c r="O16" s="54">
        <v>1039.52</v>
      </c>
      <c r="P16" s="54">
        <v>7.1</v>
      </c>
      <c r="Q16" s="54"/>
      <c r="R16" s="54">
        <v>8.4</v>
      </c>
      <c r="S16" s="55">
        <v>43157</v>
      </c>
      <c r="T16" s="54"/>
      <c r="U16" s="54"/>
      <c r="V16" s="54"/>
      <c r="W16" s="49"/>
      <c r="X16" s="47">
        <f t="shared" si="3"/>
        <v>163.57</v>
      </c>
      <c r="Y16" s="47">
        <v>0</v>
      </c>
      <c r="Z16" s="47">
        <v>163.57</v>
      </c>
      <c r="AA16" s="47">
        <f t="shared" si="0"/>
        <v>1357.32</v>
      </c>
      <c r="AB16" s="50">
        <v>2440010</v>
      </c>
    </row>
    <row r="17" spans="1:28" x14ac:dyDescent="0.25">
      <c r="A17" s="64">
        <v>2070</v>
      </c>
      <c r="B17" s="53">
        <v>11</v>
      </c>
      <c r="C17" s="53" t="s">
        <v>51</v>
      </c>
      <c r="D17" s="47">
        <f t="shared" si="1"/>
        <v>1174.26</v>
      </c>
      <c r="E17" s="47">
        <f t="shared" si="2"/>
        <v>1174.26</v>
      </c>
      <c r="F17" s="48">
        <v>865.35</v>
      </c>
      <c r="G17" s="54">
        <v>84.46</v>
      </c>
      <c r="H17" s="54"/>
      <c r="I17" s="54">
        <v>42</v>
      </c>
      <c r="J17" s="50" t="s">
        <v>52</v>
      </c>
      <c r="K17" s="54"/>
      <c r="L17" s="54"/>
      <c r="M17" s="54"/>
      <c r="N17" s="54"/>
      <c r="O17" s="54">
        <v>308.90999999999997</v>
      </c>
      <c r="P17" s="53">
        <v>46.81</v>
      </c>
      <c r="Q17" s="53"/>
      <c r="R17" s="54">
        <v>8.4</v>
      </c>
      <c r="S17" s="55">
        <v>43241</v>
      </c>
      <c r="T17" s="54"/>
      <c r="U17" s="54"/>
      <c r="V17" s="54"/>
      <c r="W17" s="49"/>
      <c r="X17" s="47">
        <f t="shared" si="3"/>
        <v>184.4</v>
      </c>
      <c r="Y17" s="47">
        <v>0</v>
      </c>
      <c r="Z17" s="47">
        <v>184.4</v>
      </c>
      <c r="AA17" s="47">
        <f t="shared" si="0"/>
        <v>1358.66</v>
      </c>
      <c r="AB17" s="50">
        <v>2440010</v>
      </c>
    </row>
    <row r="18" spans="1:28" x14ac:dyDescent="0.25">
      <c r="A18" s="64">
        <v>1169</v>
      </c>
      <c r="B18" s="53">
        <v>12</v>
      </c>
      <c r="C18" s="53" t="s">
        <v>53</v>
      </c>
      <c r="D18" s="47">
        <f t="shared" si="1"/>
        <v>1738.03</v>
      </c>
      <c r="E18" s="47">
        <f t="shared" si="2"/>
        <v>1738.03</v>
      </c>
      <c r="F18" s="48">
        <v>1738.03</v>
      </c>
      <c r="G18" s="53">
        <v>19.52</v>
      </c>
      <c r="H18" s="65"/>
      <c r="I18" s="66">
        <v>16.8</v>
      </c>
      <c r="J18" s="50" t="s">
        <v>54</v>
      </c>
      <c r="K18" s="66"/>
      <c r="L18" s="66"/>
      <c r="M18" s="66"/>
      <c r="N18" s="66"/>
      <c r="O18" s="53">
        <v>0</v>
      </c>
      <c r="P18" s="53">
        <v>0</v>
      </c>
      <c r="Q18" s="53"/>
      <c r="R18" s="54">
        <v>0</v>
      </c>
      <c r="S18" s="55"/>
      <c r="T18" s="54"/>
      <c r="U18" s="54"/>
      <c r="V18" s="54"/>
      <c r="W18" s="49"/>
      <c r="X18" s="47">
        <f t="shared" si="3"/>
        <v>272.85000000000002</v>
      </c>
      <c r="Y18" s="47">
        <v>0</v>
      </c>
      <c r="Z18" s="47">
        <v>272.85000000000002</v>
      </c>
      <c r="AA18" s="47">
        <f t="shared" si="0"/>
        <v>2010.88</v>
      </c>
      <c r="AB18" s="50">
        <v>2440010</v>
      </c>
    </row>
    <row r="19" spans="1:28" x14ac:dyDescent="0.25">
      <c r="A19" s="64">
        <v>1166</v>
      </c>
      <c r="B19" s="53">
        <v>13</v>
      </c>
      <c r="C19" s="53" t="s">
        <v>55</v>
      </c>
      <c r="D19" s="47">
        <f t="shared" si="1"/>
        <v>1648.2799999999997</v>
      </c>
      <c r="E19" s="47">
        <f t="shared" si="2"/>
        <v>1648.2799999999997</v>
      </c>
      <c r="F19" s="48">
        <v>1648.2799999999997</v>
      </c>
      <c r="G19" s="53">
        <v>86.09</v>
      </c>
      <c r="H19" s="53"/>
      <c r="I19" s="54">
        <v>33.6</v>
      </c>
      <c r="J19" s="67" t="s">
        <v>56</v>
      </c>
      <c r="K19" s="54"/>
      <c r="L19" s="54"/>
      <c r="M19" s="54"/>
      <c r="N19" s="54"/>
      <c r="O19" s="53">
        <v>0</v>
      </c>
      <c r="P19" s="53">
        <v>0</v>
      </c>
      <c r="Q19" s="53"/>
      <c r="R19" s="54">
        <v>0</v>
      </c>
      <c r="S19" s="55"/>
      <c r="T19" s="54"/>
      <c r="U19" s="54"/>
      <c r="V19" s="54"/>
      <c r="W19" s="49"/>
      <c r="X19" s="47">
        <f t="shared" si="3"/>
        <v>363.62</v>
      </c>
      <c r="Y19" s="47">
        <v>0</v>
      </c>
      <c r="Z19" s="47">
        <v>363.62</v>
      </c>
      <c r="AA19" s="47">
        <f t="shared" si="0"/>
        <v>2011.8999999999996</v>
      </c>
      <c r="AB19" s="50">
        <v>2440010</v>
      </c>
    </row>
    <row r="20" spans="1:28" x14ac:dyDescent="0.25">
      <c r="A20" s="53">
        <v>1153</v>
      </c>
      <c r="B20" s="53">
        <v>14</v>
      </c>
      <c r="C20" s="53" t="s">
        <v>57</v>
      </c>
      <c r="D20" s="47">
        <f t="shared" si="1"/>
        <v>1787.48</v>
      </c>
      <c r="E20" s="47">
        <f t="shared" si="2"/>
        <v>1787.48</v>
      </c>
      <c r="F20" s="48">
        <v>1135.81</v>
      </c>
      <c r="G20" s="53">
        <v>7.57</v>
      </c>
      <c r="H20" s="53"/>
      <c r="I20" s="54">
        <v>8.4</v>
      </c>
      <c r="J20" s="53" t="s">
        <v>50</v>
      </c>
      <c r="K20" s="54"/>
      <c r="L20" s="54"/>
      <c r="M20" s="54"/>
      <c r="N20" s="54"/>
      <c r="O20" s="53">
        <v>651.66999999999996</v>
      </c>
      <c r="P20" s="53">
        <v>24.91</v>
      </c>
      <c r="Q20" s="53"/>
      <c r="R20" s="54">
        <v>16.8</v>
      </c>
      <c r="S20" s="55">
        <v>43213</v>
      </c>
      <c r="T20" s="54"/>
      <c r="U20" s="54"/>
      <c r="V20" s="54"/>
      <c r="W20" s="49"/>
      <c r="X20" s="47">
        <f t="shared" si="3"/>
        <v>246.3</v>
      </c>
      <c r="Y20" s="47">
        <v>0</v>
      </c>
      <c r="Z20" s="33">
        <v>246.3</v>
      </c>
      <c r="AA20" s="47">
        <f t="shared" si="0"/>
        <v>2033.78</v>
      </c>
      <c r="AB20" s="50">
        <v>2440010</v>
      </c>
    </row>
    <row r="21" spans="1:28" x14ac:dyDescent="0.25">
      <c r="A21" s="64">
        <v>1142</v>
      </c>
      <c r="B21" s="53">
        <v>15</v>
      </c>
      <c r="C21" s="53" t="s">
        <v>58</v>
      </c>
      <c r="D21" s="47">
        <f t="shared" si="1"/>
        <v>1722.75</v>
      </c>
      <c r="E21" s="47">
        <f t="shared" si="2"/>
        <v>1722.75</v>
      </c>
      <c r="F21" s="48">
        <v>1399.34</v>
      </c>
      <c r="G21" s="53">
        <v>46.05</v>
      </c>
      <c r="H21" s="53"/>
      <c r="I21" s="54">
        <v>16.8</v>
      </c>
      <c r="J21" s="53" t="s">
        <v>59</v>
      </c>
      <c r="K21" s="54"/>
      <c r="L21" s="54"/>
      <c r="M21" s="54"/>
      <c r="N21" s="54"/>
      <c r="O21" s="53">
        <v>323.40999999999997</v>
      </c>
      <c r="P21" s="53">
        <v>35.56</v>
      </c>
      <c r="Q21" s="53"/>
      <c r="R21" s="54">
        <v>25.2</v>
      </c>
      <c r="S21" s="55">
        <v>43150</v>
      </c>
      <c r="T21" s="54"/>
      <c r="U21" s="54"/>
      <c r="V21" s="54"/>
      <c r="W21" s="49"/>
      <c r="X21" s="47">
        <f t="shared" si="3"/>
        <v>320.55</v>
      </c>
      <c r="Y21" s="47">
        <v>0</v>
      </c>
      <c r="Z21" s="47">
        <v>320.55</v>
      </c>
      <c r="AA21" s="47">
        <f t="shared" si="0"/>
        <v>2043.3</v>
      </c>
      <c r="AB21" s="50">
        <v>2440010</v>
      </c>
    </row>
    <row r="22" spans="1:28" x14ac:dyDescent="0.25">
      <c r="A22" s="64">
        <v>1137</v>
      </c>
      <c r="B22" s="53">
        <v>16</v>
      </c>
      <c r="C22" s="53" t="s">
        <v>60</v>
      </c>
      <c r="D22" s="47">
        <f t="shared" si="1"/>
        <v>1804.8400000000001</v>
      </c>
      <c r="E22" s="47">
        <f t="shared" si="2"/>
        <v>1804.8400000000001</v>
      </c>
      <c r="F22" s="48">
        <v>785.83</v>
      </c>
      <c r="G22" s="53">
        <v>0</v>
      </c>
      <c r="H22" s="53"/>
      <c r="I22" s="53">
        <v>0</v>
      </c>
      <c r="J22" s="55" t="s">
        <v>61</v>
      </c>
      <c r="K22" s="53"/>
      <c r="L22" s="53"/>
      <c r="M22" s="53"/>
      <c r="N22" s="53"/>
      <c r="O22" s="54">
        <v>1019.01</v>
      </c>
      <c r="P22" s="54">
        <v>21.61</v>
      </c>
      <c r="Q22" s="54"/>
      <c r="R22" s="53">
        <v>0</v>
      </c>
      <c r="S22" s="55">
        <v>43314</v>
      </c>
      <c r="T22" s="53"/>
      <c r="U22" s="53"/>
      <c r="V22" s="53"/>
      <c r="W22" s="46"/>
      <c r="X22" s="47">
        <f t="shared" si="3"/>
        <v>244.21</v>
      </c>
      <c r="Y22" s="47">
        <v>0</v>
      </c>
      <c r="Z22" s="47">
        <v>244.21</v>
      </c>
      <c r="AA22" s="47">
        <f t="shared" si="0"/>
        <v>2049.0500000000002</v>
      </c>
      <c r="AB22" s="50">
        <v>2440010</v>
      </c>
    </row>
    <row r="23" spans="1:28" x14ac:dyDescent="0.25">
      <c r="A23" s="64">
        <v>1135</v>
      </c>
      <c r="B23" s="53">
        <v>17</v>
      </c>
      <c r="C23" s="53" t="s">
        <v>62</v>
      </c>
      <c r="D23" s="47">
        <f t="shared" si="1"/>
        <v>1717.8</v>
      </c>
      <c r="E23" s="47">
        <f t="shared" si="2"/>
        <v>1717.8</v>
      </c>
      <c r="F23" s="48">
        <v>1717.8</v>
      </c>
      <c r="G23" s="54">
        <v>56.3</v>
      </c>
      <c r="H23" s="54"/>
      <c r="I23" s="54">
        <v>42</v>
      </c>
      <c r="J23" s="55" t="s">
        <v>63</v>
      </c>
      <c r="K23" s="54"/>
      <c r="L23" s="54"/>
      <c r="M23" s="54"/>
      <c r="N23" s="54"/>
      <c r="O23" s="54">
        <v>0</v>
      </c>
      <c r="P23" s="54">
        <v>0</v>
      </c>
      <c r="Q23" s="54"/>
      <c r="R23" s="54">
        <v>0</v>
      </c>
      <c r="S23" s="55"/>
      <c r="T23" s="54"/>
      <c r="U23" s="54"/>
      <c r="V23" s="54"/>
      <c r="W23" s="49"/>
      <c r="X23" s="47">
        <f t="shared" si="3"/>
        <v>333.79</v>
      </c>
      <c r="Y23" s="47">
        <v>0</v>
      </c>
      <c r="Z23" s="47">
        <v>333.79</v>
      </c>
      <c r="AA23" s="47">
        <f t="shared" si="0"/>
        <v>2051.59</v>
      </c>
      <c r="AB23" s="50">
        <v>2440010</v>
      </c>
    </row>
    <row r="24" spans="1:28" x14ac:dyDescent="0.25">
      <c r="A24" s="68">
        <v>951</v>
      </c>
      <c r="B24" s="57">
        <v>18</v>
      </c>
      <c r="C24" s="57" t="s">
        <v>64</v>
      </c>
      <c r="D24" s="58">
        <f t="shared" si="1"/>
        <v>1808.69</v>
      </c>
      <c r="E24" s="58">
        <f t="shared" si="2"/>
        <v>1178.3900000000001</v>
      </c>
      <c r="F24" s="59">
        <v>1178.3900000000001</v>
      </c>
      <c r="G24" s="57">
        <v>54.07</v>
      </c>
      <c r="H24" s="57"/>
      <c r="I24" s="57">
        <v>13.19</v>
      </c>
      <c r="J24" s="60">
        <v>42315</v>
      </c>
      <c r="K24" s="57"/>
      <c r="L24" s="57"/>
      <c r="M24" s="57"/>
      <c r="N24" s="57"/>
      <c r="O24" s="57">
        <v>0</v>
      </c>
      <c r="P24" s="57">
        <v>0</v>
      </c>
      <c r="Q24" s="57"/>
      <c r="R24" s="57">
        <v>0</v>
      </c>
      <c r="S24" s="60"/>
      <c r="T24" s="58">
        <v>630.29999999999995</v>
      </c>
      <c r="U24" s="61">
        <v>42968</v>
      </c>
      <c r="V24" s="58">
        <v>0</v>
      </c>
      <c r="W24" s="61">
        <v>42983</v>
      </c>
      <c r="X24" s="58">
        <f t="shared" si="3"/>
        <v>485.9298</v>
      </c>
      <c r="Y24" s="58">
        <v>334.48</v>
      </c>
      <c r="Z24" s="58">
        <v>151.44980000000001</v>
      </c>
      <c r="AA24" s="58">
        <f t="shared" si="0"/>
        <v>2294.6197999999999</v>
      </c>
      <c r="AB24" s="62">
        <v>2442170</v>
      </c>
    </row>
    <row r="25" spans="1:28" x14ac:dyDescent="0.25">
      <c r="A25" s="68">
        <v>695</v>
      </c>
      <c r="B25" s="57">
        <v>19</v>
      </c>
      <c r="C25" s="57" t="s">
        <v>65</v>
      </c>
      <c r="D25" s="58">
        <f t="shared" si="1"/>
        <v>2609.33</v>
      </c>
      <c r="E25" s="58">
        <f t="shared" si="2"/>
        <v>1862.07</v>
      </c>
      <c r="F25" s="59">
        <v>1862.07</v>
      </c>
      <c r="G25" s="69">
        <v>25.04</v>
      </c>
      <c r="H25" s="69"/>
      <c r="I25" s="69">
        <v>8.4</v>
      </c>
      <c r="J25" s="60">
        <v>42795</v>
      </c>
      <c r="K25" s="69"/>
      <c r="L25" s="69"/>
      <c r="M25" s="69"/>
      <c r="N25" s="69"/>
      <c r="O25" s="57">
        <v>0</v>
      </c>
      <c r="P25" s="57">
        <v>0</v>
      </c>
      <c r="Q25" s="57"/>
      <c r="R25" s="57">
        <v>0</v>
      </c>
      <c r="S25" s="60"/>
      <c r="T25" s="58">
        <v>630</v>
      </c>
      <c r="U25" s="61">
        <v>43398</v>
      </c>
      <c r="V25" s="58">
        <v>117.26</v>
      </c>
      <c r="W25" s="61">
        <v>43417</v>
      </c>
      <c r="X25" s="58">
        <f t="shared" si="3"/>
        <v>269.28530000000001</v>
      </c>
      <c r="Y25" s="58">
        <v>120</v>
      </c>
      <c r="Z25" s="58">
        <v>149.28530000000001</v>
      </c>
      <c r="AA25" s="58">
        <f t="shared" si="0"/>
        <v>2878.6152999999999</v>
      </c>
      <c r="AB25" s="62">
        <v>2442170</v>
      </c>
    </row>
    <row r="26" spans="1:28" x14ac:dyDescent="0.25">
      <c r="A26" s="64">
        <v>1158</v>
      </c>
      <c r="B26" s="53">
        <v>20</v>
      </c>
      <c r="C26" s="53" t="s">
        <v>66</v>
      </c>
      <c r="D26" s="47">
        <f t="shared" si="1"/>
        <v>1638.93</v>
      </c>
      <c r="E26" s="47">
        <f t="shared" si="2"/>
        <v>1638.93</v>
      </c>
      <c r="F26" s="48">
        <v>1638.93</v>
      </c>
      <c r="G26" s="54">
        <v>7.55</v>
      </c>
      <c r="H26" s="54"/>
      <c r="I26" s="54">
        <v>50.4</v>
      </c>
      <c r="J26" s="55" t="s">
        <v>67</v>
      </c>
      <c r="K26" s="54"/>
      <c r="L26" s="54"/>
      <c r="M26" s="54"/>
      <c r="N26" s="54"/>
      <c r="O26" s="54">
        <v>0</v>
      </c>
      <c r="P26" s="54">
        <v>0</v>
      </c>
      <c r="Q26" s="54"/>
      <c r="R26" s="54">
        <v>50.4</v>
      </c>
      <c r="S26" s="55">
        <v>43207</v>
      </c>
      <c r="T26" s="54"/>
      <c r="U26" s="54"/>
      <c r="V26" s="54"/>
      <c r="W26" s="54"/>
      <c r="X26" s="47">
        <f t="shared" si="3"/>
        <v>383.42</v>
      </c>
      <c r="Y26" s="70">
        <v>0</v>
      </c>
      <c r="Z26" s="70">
        <v>383.42</v>
      </c>
      <c r="AA26" s="47">
        <f t="shared" si="0"/>
        <v>2022.3500000000001</v>
      </c>
      <c r="AB26" s="50">
        <v>2440010</v>
      </c>
    </row>
    <row r="27" spans="1:28" x14ac:dyDescent="0.25">
      <c r="A27" s="71"/>
      <c r="B27" s="71"/>
      <c r="C27" s="71"/>
      <c r="D27" s="72">
        <f>SUM(D7:D26)</f>
        <v>25931.79</v>
      </c>
      <c r="E27" s="73">
        <f t="shared" ref="E27:AA27" si="4">SUM(E7:E26)</f>
        <v>23488.91</v>
      </c>
      <c r="F27" s="73">
        <f t="shared" si="4"/>
        <v>19962.5</v>
      </c>
      <c r="G27" s="73">
        <f t="shared" si="4"/>
        <v>491.49000000000007</v>
      </c>
      <c r="H27" s="73">
        <f t="shared" si="4"/>
        <v>0</v>
      </c>
      <c r="I27" s="73">
        <f t="shared" si="4"/>
        <v>585.97</v>
      </c>
      <c r="J27" s="73">
        <f t="shared" si="4"/>
        <v>211548</v>
      </c>
      <c r="K27" s="73">
        <f t="shared" si="4"/>
        <v>0</v>
      </c>
      <c r="L27" s="73"/>
      <c r="M27" s="73">
        <f t="shared" si="4"/>
        <v>0</v>
      </c>
      <c r="N27" s="73"/>
      <c r="O27" s="73">
        <f t="shared" si="4"/>
        <v>3526.41</v>
      </c>
      <c r="P27" s="73">
        <f t="shared" si="4"/>
        <v>148.51999999999998</v>
      </c>
      <c r="Q27" s="73"/>
      <c r="R27" s="73">
        <f t="shared" si="4"/>
        <v>176.4</v>
      </c>
      <c r="S27" s="73"/>
      <c r="T27" s="73">
        <f t="shared" si="4"/>
        <v>2071.1999999999998</v>
      </c>
      <c r="U27" s="73"/>
      <c r="V27" s="73">
        <f t="shared" si="4"/>
        <v>371.68</v>
      </c>
      <c r="W27" s="73"/>
      <c r="X27" s="72">
        <f t="shared" si="4"/>
        <v>4683.9841000000006</v>
      </c>
      <c r="Y27" s="73">
        <f t="shared" si="4"/>
        <v>755.98</v>
      </c>
      <c r="Z27" s="73">
        <f t="shared" si="4"/>
        <v>3928.0041000000006</v>
      </c>
      <c r="AA27" s="74">
        <f t="shared" si="4"/>
        <v>30615.774099999999</v>
      </c>
      <c r="AB27" s="73"/>
    </row>
  </sheetData>
  <mergeCells count="26">
    <mergeCell ref="Z3:Z4"/>
    <mergeCell ref="AA3:AA4"/>
    <mergeCell ref="T3:T4"/>
    <mergeCell ref="U3:U4"/>
    <mergeCell ref="V3:V4"/>
    <mergeCell ref="W3:W4"/>
    <mergeCell ref="X3:X4"/>
    <mergeCell ref="Y3:Y4"/>
    <mergeCell ref="K3:K4"/>
    <mergeCell ref="L3:L4"/>
    <mergeCell ref="M3:M4"/>
    <mergeCell ref="N3:N4"/>
    <mergeCell ref="O3:R3"/>
    <mergeCell ref="S3:S4"/>
    <mergeCell ref="B3:B4"/>
    <mergeCell ref="C3:C4"/>
    <mergeCell ref="D3:D4"/>
    <mergeCell ref="E3:E4"/>
    <mergeCell ref="F3:I3"/>
    <mergeCell ref="J3:J4"/>
    <mergeCell ref="D1:W1"/>
    <mergeCell ref="X1:Z2"/>
    <mergeCell ref="AA1:AA2"/>
    <mergeCell ref="D2:E2"/>
    <mergeCell ref="F2:N2"/>
    <mergeCell ref="O2:W2"/>
  </mergeCells>
  <conditionalFormatting sqref="C27 C3 C7:C19 C21:C25">
    <cfRule type="duplicateValues" dxfId="3" priority="4"/>
  </conditionalFormatting>
  <conditionalFormatting sqref="C26">
    <cfRule type="duplicateValues" dxfId="2" priority="3"/>
  </conditionalFormatting>
  <conditionalFormatting sqref="B20">
    <cfRule type="duplicateValues" dxfId="1" priority="2"/>
  </conditionalFormatting>
  <conditionalFormatting sqref="C2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2020-02-16T19:26:39Z</dcterms:created>
  <dcterms:modified xsi:type="dcterms:W3CDTF">2020-02-16T19:27:24Z</dcterms:modified>
</cp:coreProperties>
</file>